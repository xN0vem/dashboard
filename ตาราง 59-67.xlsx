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Z_F19FD08F_3D02_49D2_9B1F_404C34FB931D_.wvu.FilterData">Sheet1!$A$1:$J$9</definedName>
    <definedName hidden="1" localSheetId="0" name="Z_81E4C6B8_2AC1_4BFD_A028_CA54B702839B_.wvu.FilterData">Sheet1!$A$14:$J$23</definedName>
  </definedNames>
  <calcPr/>
  <customWorkbookViews>
    <customWorkbookView activeSheetId="0" maximized="1" windowHeight="0" windowWidth="0" guid="{F19FD08F-3D02-49D2-9B1F-404C34FB931D}" name="Table4 filter view"/>
    <customWorkbookView activeSheetId="0" maximized="1" windowHeight="0" windowWidth="0" guid="{81E4C6B8-2AC1-4BFD-A028-CA54B702839B}" name="Table47 filter view"/>
  </customWorkbookViews>
</workbook>
</file>

<file path=xl/sharedStrings.xml><?xml version="1.0" encoding="utf-8"?>
<sst xmlns="http://schemas.openxmlformats.org/spreadsheetml/2006/main" count="37" uniqueCount="36">
  <si>
    <t>กลุ่มประเภทอุบัติเหตุ</t>
  </si>
  <si>
    <t>สถิติอุบัติเหตุ ปี 2559</t>
  </si>
  <si>
    <t>สถิติอุบัติเหตุ ปี 2560</t>
  </si>
  <si>
    <t>สถิติอุบัติเหตุ ปี 2561</t>
  </si>
  <si>
    <t>สถิติอุบัติเหตุ ปี 2562</t>
  </si>
  <si>
    <t>สถิติอุบัติเหตุ ปี 2563</t>
  </si>
  <si>
    <t>สถิติอุบัติเหตุ ปี 2564</t>
  </si>
  <si>
    <t>สถิติอุบัติเหตุ ปี 2565</t>
  </si>
  <si>
    <t>สถิติอุบัติเหตุ ปี 2566</t>
  </si>
  <si>
    <t>สถิติอุบัติเหตุ ปี 2567</t>
  </si>
  <si>
    <t xml:space="preserve">1. อัคคีภัย </t>
  </si>
  <si>
    <t xml:space="preserve">2. การระเบิด </t>
  </si>
  <si>
    <t xml:space="preserve">3. สารเคมีรั่วไหล </t>
  </si>
  <si>
    <t xml:space="preserve">4. อุบัติเหตุเกี่ยวกับเครื่องจักร  </t>
  </si>
  <si>
    <t>5.หม้อน้ำระเบิด</t>
  </si>
  <si>
    <t>6.พื้นที่อับอากาศ</t>
  </si>
  <si>
    <t>7.อื่นๆ</t>
  </si>
  <si>
    <t>รวม</t>
  </si>
  <si>
    <t>กลุ่มประเภทโรงงาน</t>
  </si>
  <si>
    <t xml:space="preserve"> ปี 2559</t>
  </si>
  <si>
    <t xml:space="preserve"> ปี 2560</t>
  </si>
  <si>
    <t xml:space="preserve"> ปี 2561</t>
  </si>
  <si>
    <t xml:space="preserve"> ปี 2562</t>
  </si>
  <si>
    <t xml:space="preserve"> ปี 2563</t>
  </si>
  <si>
    <t xml:space="preserve"> ปี 2564</t>
  </si>
  <si>
    <t xml:space="preserve"> ปี 2565</t>
  </si>
  <si>
    <t xml:space="preserve"> ปี 2566</t>
  </si>
  <si>
    <t xml:space="preserve"> ปี 2567</t>
  </si>
  <si>
    <t>กลุ่มประเภทที่ 1</t>
  </si>
  <si>
    <t>กลุ่มประเภทที่ 2</t>
  </si>
  <si>
    <t>กลุ่มประเภทที่ 3</t>
  </si>
  <si>
    <t xml:space="preserve">กลุ่มประเภทที่ 4 </t>
  </si>
  <si>
    <t xml:space="preserve">กลุ่มประเภทที่ 5 </t>
  </si>
  <si>
    <t>กลุ่มประเภทที่ 6</t>
  </si>
  <si>
    <t xml:space="preserve">กลุ่มประเภทที่ 7 </t>
  </si>
  <si>
    <t>กลุ่มประเภทที่ 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</si>
</sst>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6.0"/>
      <color theme="1"/>
      <name val="TH Sarabun PSK"/>
    </font>
    <font>
      <sz val="11.0"/>
      <color theme="1"/>
      <name val="Tahoma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left" shrinkToFit="0" vertical="center" wrapText="0"/>
    </xf>
    <xf borderId="0" fillId="0" fontId="2" numFmtId="0" xfId="0" applyAlignment="1" applyFont="1">
      <alignment horizontal="center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rgb="FFD4D4D4"/>
        </vertical>
        <horizontal style="thin">
          <color rgb="FFD4D4D4"/>
        </horizontal>
      </border>
    </dxf>
  </dxfs>
  <tableStyles count="2">
    <tableStyle count="4" pivot="0" name="Sheet1-style">
      <tableStyleElement dxfId="1" type="headerRow"/>
      <tableStyleElement dxfId="2" type="firstRowStripe"/>
      <tableStyleElement dxfId="1" type="secondRowStripe"/>
      <tableStyleElement dxfId="3" size="0" type="wholeTable"/>
    </tableStyle>
    <tableStyle count="4" pivot="0" name="Sheet1-style 2">
      <tableStyleElement dxfId="1" type="headerRow"/>
      <tableStyleElement dxfId="2" type="firstRowStripe"/>
      <tableStyleElement dxfId="1" type="secondRowStripe"/>
      <tableStyleElement dxfId="3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9" displayName="Table4" name="Table4" id="1">
  <tableColumns count="10">
    <tableColumn name="กลุ่มประเภทอุบัติเหตุ" id="1"/>
    <tableColumn name="สถิติอุบัติเหตุ ปี 2559" id="2"/>
    <tableColumn name="สถิติอุบัติเหตุ ปี 2560" id="3"/>
    <tableColumn name="สถิติอุบัติเหตุ ปี 2561" id="4"/>
    <tableColumn name="สถิติอุบัติเหตุ ปี 2562" id="5"/>
    <tableColumn name="สถิติอุบัติเหตุ ปี 2563" id="6"/>
    <tableColumn name="สถิติอุบัติเหตุ ปี 2564" id="7"/>
    <tableColumn name="สถิติอุบัติเหตุ ปี 2565" id="8"/>
    <tableColumn name="สถิติอุบัติเหตุ ปี 2566" id="9"/>
    <tableColumn name="สถิติอุบัติเหตุ ปี 2567" id="10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A14:J23" displayName="Table47" name="Table47" id="2">
  <tableColumns count="10">
    <tableColumn name="กลุ่มประเภทโรงงาน" id="1"/>
    <tableColumn name=" ปี 2559" id="2"/>
    <tableColumn name=" ปี 2560" id="3"/>
    <tableColumn name=" ปี 2561" id="4"/>
    <tableColumn name=" ปี 2562" id="5"/>
    <tableColumn name=" ปี 2563" id="6"/>
    <tableColumn name=" ปี 2564" id="7"/>
    <tableColumn name=" ปี 2565" id="8"/>
    <tableColumn name=" ปี 2566" id="9"/>
    <tableColumn name=" ปี 2567" id="10"/>
  </tableColumns>
  <tableStyleInfo name="Sheet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4.86"/>
    <col customWidth="1" min="2" max="2" width="33.29"/>
    <col customWidth="1" min="3" max="3" width="35.57"/>
    <col customWidth="1" min="4" max="4" width="31.43"/>
    <col customWidth="1" min="5" max="5" width="37.14"/>
    <col customWidth="1" min="6" max="6" width="28.71"/>
    <col customWidth="1" min="7" max="7" width="31.43"/>
    <col customWidth="1" min="8" max="8" width="30.14"/>
    <col customWidth="1" min="9" max="9" width="34.71"/>
    <col customWidth="1" min="10" max="10" width="31.86"/>
    <col customWidth="1" min="11" max="26" width="8.71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5.75" customHeight="1">
      <c r="A2" s="2" t="s">
        <v>10</v>
      </c>
      <c r="B2" s="3">
        <v>117.0</v>
      </c>
      <c r="C2" s="3">
        <v>105.0</v>
      </c>
      <c r="D2" s="3">
        <v>79.0</v>
      </c>
      <c r="E2" s="3">
        <v>69.0</v>
      </c>
      <c r="F2" s="3">
        <v>41.0</v>
      </c>
      <c r="G2" s="3">
        <v>92.0</v>
      </c>
      <c r="H2" s="3">
        <v>81.0</v>
      </c>
      <c r="I2" s="3">
        <v>109.0</v>
      </c>
      <c r="J2" s="3">
        <v>108.0</v>
      </c>
    </row>
    <row r="3" ht="18.75" customHeight="1">
      <c r="A3" s="2" t="s">
        <v>11</v>
      </c>
      <c r="B3" s="3">
        <v>8.0</v>
      </c>
      <c r="C3" s="3">
        <v>5.0</v>
      </c>
      <c r="D3" s="3">
        <v>13.0</v>
      </c>
      <c r="E3" s="3">
        <v>5.0</v>
      </c>
      <c r="F3" s="3">
        <v>1.0</v>
      </c>
      <c r="G3" s="3">
        <v>5.0</v>
      </c>
      <c r="H3" s="3">
        <v>0.0</v>
      </c>
      <c r="I3" s="3">
        <v>4.0</v>
      </c>
      <c r="J3" s="3">
        <v>5.0</v>
      </c>
    </row>
    <row r="4" ht="21.75" customHeight="1">
      <c r="A4" s="2" t="s">
        <v>12</v>
      </c>
      <c r="B4" s="3">
        <v>18.0</v>
      </c>
      <c r="C4" s="3">
        <v>15.0</v>
      </c>
      <c r="D4" s="3">
        <v>3.0</v>
      </c>
      <c r="E4" s="3">
        <v>3.0</v>
      </c>
      <c r="F4" s="3">
        <v>2.0</v>
      </c>
      <c r="G4" s="3">
        <v>3.0</v>
      </c>
      <c r="H4" s="3">
        <v>17.0</v>
      </c>
      <c r="I4" s="3">
        <v>13.0</v>
      </c>
      <c r="J4" s="3">
        <v>20.0</v>
      </c>
    </row>
    <row r="5" ht="21.75" customHeight="1">
      <c r="A5" s="3" t="s">
        <v>13</v>
      </c>
      <c r="B5" s="3">
        <v>9.0</v>
      </c>
      <c r="C5" s="3">
        <v>14.0</v>
      </c>
      <c r="D5" s="3">
        <v>0.0</v>
      </c>
      <c r="E5" s="3">
        <v>6.0</v>
      </c>
      <c r="F5" s="3">
        <v>3.0</v>
      </c>
      <c r="G5" s="3">
        <v>4.0</v>
      </c>
      <c r="H5" s="3">
        <v>6.0</v>
      </c>
      <c r="I5" s="3">
        <v>11.0</v>
      </c>
      <c r="J5" s="3">
        <v>8.0</v>
      </c>
    </row>
    <row r="6" ht="21.75" customHeight="1">
      <c r="A6" s="2" t="s">
        <v>14</v>
      </c>
      <c r="B6" s="3">
        <f>-B7</f>
        <v>0</v>
      </c>
      <c r="C6" s="3">
        <v>0.0</v>
      </c>
      <c r="D6" s="3">
        <v>0.0</v>
      </c>
      <c r="E6" s="3">
        <v>0.0</v>
      </c>
      <c r="F6" s="3">
        <v>0.0</v>
      </c>
      <c r="G6" s="3">
        <v>0.0</v>
      </c>
      <c r="H6" s="3">
        <v>1.0</v>
      </c>
      <c r="I6" s="3">
        <v>0.0</v>
      </c>
      <c r="J6" s="3">
        <v>0.0</v>
      </c>
    </row>
    <row r="7" ht="24.0" customHeight="1">
      <c r="A7" s="2" t="s">
        <v>15</v>
      </c>
      <c r="B7" s="3">
        <v>0.0</v>
      </c>
      <c r="C7" s="3">
        <v>0.0</v>
      </c>
      <c r="D7" s="3">
        <v>0.0</v>
      </c>
      <c r="E7" s="3">
        <v>0.0</v>
      </c>
      <c r="F7" s="3">
        <v>0.0</v>
      </c>
      <c r="G7" s="3">
        <v>0.0</v>
      </c>
      <c r="H7" s="3">
        <v>1.0</v>
      </c>
      <c r="I7" s="3">
        <v>0.0</v>
      </c>
      <c r="J7" s="3">
        <v>0.0</v>
      </c>
    </row>
    <row r="8" ht="23.25" customHeight="1">
      <c r="A8" s="2" t="s">
        <v>16</v>
      </c>
      <c r="B8" s="3">
        <v>19.0</v>
      </c>
      <c r="C8" s="3">
        <v>8.0</v>
      </c>
      <c r="D8" s="3">
        <v>19.0</v>
      </c>
      <c r="E8" s="3">
        <v>6.0</v>
      </c>
      <c r="F8" s="3">
        <v>6.0</v>
      </c>
      <c r="G8" s="3">
        <v>8.0</v>
      </c>
      <c r="H8" s="3">
        <v>1.0</v>
      </c>
      <c r="I8" s="3">
        <v>3.0</v>
      </c>
      <c r="J8" s="3">
        <v>4.0</v>
      </c>
    </row>
    <row r="9" ht="21.75" customHeight="1">
      <c r="A9" s="3" t="s">
        <v>17</v>
      </c>
      <c r="B9" s="3">
        <v>168.0</v>
      </c>
      <c r="C9" s="3">
        <f t="shared" ref="C9:J9" si="1">SUBTOTAL(109,C2:C8)</f>
        <v>147</v>
      </c>
      <c r="D9" s="3">
        <f t="shared" si="1"/>
        <v>114</v>
      </c>
      <c r="E9" s="3">
        <f t="shared" si="1"/>
        <v>89</v>
      </c>
      <c r="F9" s="3">
        <f t="shared" si="1"/>
        <v>53</v>
      </c>
      <c r="G9" s="3">
        <f t="shared" si="1"/>
        <v>112</v>
      </c>
      <c r="H9" s="3">
        <f t="shared" si="1"/>
        <v>107</v>
      </c>
      <c r="I9" s="3">
        <f t="shared" si="1"/>
        <v>140</v>
      </c>
      <c r="J9" s="3">
        <f t="shared" si="1"/>
        <v>145</v>
      </c>
    </row>
    <row r="10" ht="13.5" customHeight="1"/>
    <row r="11" ht="13.5" customHeight="1"/>
    <row r="12" ht="13.5" customHeight="1"/>
    <row r="13" ht="13.5" customHeight="1"/>
    <row r="14" ht="13.5" customHeight="1">
      <c r="A14" s="1" t="s">
        <v>18</v>
      </c>
      <c r="B14" s="1" t="s">
        <v>19</v>
      </c>
      <c r="C14" s="1" t="s">
        <v>20</v>
      </c>
      <c r="D14" s="1" t="s">
        <v>21</v>
      </c>
      <c r="E14" s="1" t="s">
        <v>22</v>
      </c>
      <c r="F14" s="1" t="s">
        <v>23</v>
      </c>
      <c r="G14" s="1" t="s">
        <v>24</v>
      </c>
      <c r="H14" s="1" t="s">
        <v>25</v>
      </c>
      <c r="I14" s="1" t="s">
        <v>26</v>
      </c>
      <c r="J14" s="1" t="s">
        <v>27</v>
      </c>
    </row>
    <row r="15" ht="13.5" customHeight="1">
      <c r="A15" s="3" t="s">
        <v>28</v>
      </c>
      <c r="B15" s="3">
        <v>16.0</v>
      </c>
      <c r="C15" s="3">
        <v>12.0</v>
      </c>
      <c r="D15" s="3"/>
      <c r="E15" s="3"/>
      <c r="F15" s="3"/>
      <c r="G15" s="3"/>
      <c r="H15" s="3"/>
      <c r="I15" s="3"/>
      <c r="J15" s="3"/>
    </row>
    <row r="16" ht="13.5" customHeight="1">
      <c r="A16" s="3" t="s">
        <v>29</v>
      </c>
      <c r="B16" s="3">
        <v>7.0</v>
      </c>
      <c r="C16" s="3">
        <v>10.0</v>
      </c>
      <c r="D16" s="3"/>
      <c r="E16" s="3"/>
      <c r="F16" s="3"/>
      <c r="G16" s="3"/>
      <c r="H16" s="3"/>
      <c r="I16" s="3"/>
      <c r="J16" s="3"/>
    </row>
    <row r="17" ht="13.5" customHeight="1">
      <c r="A17" s="3" t="s">
        <v>30</v>
      </c>
      <c r="B17" s="3">
        <v>21.0</v>
      </c>
      <c r="C17" s="3">
        <v>33.0</v>
      </c>
      <c r="D17" s="3"/>
      <c r="E17" s="3"/>
      <c r="F17" s="3"/>
      <c r="G17" s="3"/>
      <c r="H17" s="3"/>
      <c r="I17" s="3"/>
      <c r="J17" s="3"/>
    </row>
    <row r="18" ht="13.5" customHeight="1">
      <c r="A18" s="3" t="s">
        <v>31</v>
      </c>
      <c r="B18" s="3">
        <v>18.0</v>
      </c>
      <c r="C18" s="3">
        <v>14.0</v>
      </c>
      <c r="D18" s="3"/>
      <c r="E18" s="3"/>
      <c r="F18" s="3"/>
      <c r="G18" s="3"/>
      <c r="H18" s="3"/>
      <c r="I18" s="3"/>
      <c r="J18" s="3"/>
    </row>
    <row r="19" ht="13.5" customHeight="1">
      <c r="A19" s="3" t="s">
        <v>32</v>
      </c>
      <c r="B19" s="3">
        <v>10.0</v>
      </c>
      <c r="C19" s="3">
        <v>8.0</v>
      </c>
      <c r="D19" s="3"/>
      <c r="E19" s="3"/>
      <c r="F19" s="3"/>
      <c r="G19" s="3"/>
      <c r="H19" s="3"/>
      <c r="I19" s="3"/>
      <c r="J19" s="3"/>
    </row>
    <row r="20" ht="13.5" customHeight="1">
      <c r="A20" s="3" t="s">
        <v>33</v>
      </c>
      <c r="B20" s="3">
        <v>14.0</v>
      </c>
      <c r="C20" s="3">
        <v>10.0</v>
      </c>
      <c r="D20" s="3"/>
      <c r="E20" s="3"/>
      <c r="F20" s="3"/>
      <c r="G20" s="3"/>
      <c r="H20" s="3"/>
      <c r="I20" s="3"/>
      <c r="J20" s="3"/>
    </row>
    <row r="21" ht="13.5" customHeight="1">
      <c r="A21" s="3" t="s">
        <v>34</v>
      </c>
      <c r="B21" s="3">
        <v>15.0</v>
      </c>
      <c r="C21" s="3">
        <v>24.0</v>
      </c>
      <c r="D21" s="3"/>
      <c r="E21" s="3"/>
      <c r="F21" s="3"/>
      <c r="G21" s="3"/>
      <c r="H21" s="3"/>
      <c r="I21" s="3"/>
      <c r="J21" s="3"/>
    </row>
    <row r="22" ht="13.5" customHeight="1">
      <c r="A22" s="3" t="s">
        <v>35</v>
      </c>
      <c r="B22" s="3">
        <v>47.0</v>
      </c>
      <c r="C22" s="3">
        <v>36.0</v>
      </c>
      <c r="D22" s="3"/>
      <c r="E22" s="3"/>
      <c r="F22" s="3"/>
      <c r="G22" s="3"/>
      <c r="H22" s="3"/>
      <c r="I22" s="3"/>
      <c r="J22" s="3"/>
    </row>
    <row r="23" ht="13.5" customHeight="1">
      <c r="A23" s="3" t="s">
        <v>17</v>
      </c>
      <c r="B23" s="3">
        <v>168.0</v>
      </c>
      <c r="C23" s="3">
        <f>SUBTOTAL(109,C15:C22)</f>
        <v>147</v>
      </c>
      <c r="D23" s="3">
        <f t="shared" ref="D23:J23" si="2">SUBTOTAL(109,D15:D21)</f>
        <v>0</v>
      </c>
      <c r="E23" s="3">
        <f t="shared" si="2"/>
        <v>0</v>
      </c>
      <c r="F23" s="3">
        <f t="shared" si="2"/>
        <v>0</v>
      </c>
      <c r="G23" s="3">
        <f t="shared" si="2"/>
        <v>0</v>
      </c>
      <c r="H23" s="3">
        <f t="shared" si="2"/>
        <v>0</v>
      </c>
      <c r="I23" s="3">
        <f t="shared" si="2"/>
        <v>0</v>
      </c>
      <c r="J23" s="3">
        <f t="shared" si="2"/>
        <v>0</v>
      </c>
    </row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customSheetViews>
    <customSheetView guid="{81E4C6B8-2AC1-4BFD-A028-CA54B702839B}" filter="1" showAutoFilter="1">
      <autoFilter ref="$A$14:$J$23"/>
    </customSheetView>
    <customSheetView guid="{F19FD08F-3D02-49D2-9B1F-404C34FB931D}" filter="1" showAutoFilter="1">
      <autoFilter ref="$A$1:$J$9"/>
    </customSheetView>
  </customSheetViews>
  <printOptions/>
  <pageMargins bottom="0.75" footer="0.0" header="0.0" left="0.7" right="0.7" top="0.75"/>
  <pageSetup orientation="portrait"/>
  <drawing r:id="rId1"/>
  <tableParts count="2">
    <tablePart r:id="rId4"/>
    <tablePart r:id="rId5"/>
  </tableParts>
</worksheet>
</file>